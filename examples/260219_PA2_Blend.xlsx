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a_Brewfather_Tutorials\PartiGyle\Updated versions of everything\"/>
    </mc:Choice>
  </mc:AlternateContent>
  <xr:revisionPtr revIDLastSave="0" documentId="13_ncr:1_{E6064F45-E36D-4D88-9DF2-2AC9441D4F1E}" xr6:coauthVersionLast="47" xr6:coauthVersionMax="47" xr10:uidLastSave="{00000000-0000-0000-0000-000000000000}"/>
  <bookViews>
    <workbookView xWindow="-110" yWindow="-110" windowWidth="38620" windowHeight="21100" xr2:uid="{78172CC6-D53C-435F-83CC-A8DCD12587D9}"/>
  </bookViews>
  <sheets>
    <sheet name="Blending Cal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E19" i="1"/>
  <c r="G19" i="1"/>
  <c r="J19" i="1"/>
  <c r="J12" i="1" s="1"/>
  <c r="D24" i="1"/>
  <c r="D26" i="1" s="1"/>
  <c r="E24" i="1"/>
  <c r="E26" i="1" s="1"/>
  <c r="J11" i="1"/>
  <c r="J10" i="1"/>
  <c r="J9" i="1"/>
  <c r="J8" i="1"/>
  <c r="J7" i="1"/>
  <c r="J6" i="1"/>
  <c r="J5" i="1"/>
  <c r="J4" i="1"/>
  <c r="J3" i="1"/>
  <c r="K3" i="1" s="1"/>
  <c r="C24" i="1"/>
  <c r="C26" i="1" s="1"/>
  <c r="C19" i="1"/>
  <c r="I2" i="1"/>
  <c r="C9" i="1"/>
  <c r="C5" i="1" s="1"/>
  <c r="I3" i="1" s="1"/>
  <c r="E7" i="1"/>
  <c r="F7" i="1"/>
  <c r="D7" i="1"/>
  <c r="C7" i="1"/>
  <c r="N3" i="1" l="1"/>
  <c r="L3" i="1"/>
  <c r="I4" i="1"/>
  <c r="K6" i="1"/>
  <c r="C10" i="1"/>
  <c r="D12" i="1" s="1"/>
  <c r="K9" i="1"/>
  <c r="L6" i="1"/>
  <c r="D5" i="1"/>
  <c r="I6" i="1" s="1"/>
  <c r="E5" i="1"/>
  <c r="I9" i="1" s="1"/>
  <c r="F5" i="1"/>
  <c r="I12" i="1" s="1"/>
  <c r="N12" i="1" s="1"/>
  <c r="K4" i="1" l="1"/>
  <c r="I5" i="1"/>
  <c r="K5" i="1" s="1"/>
  <c r="I10" i="1"/>
  <c r="L9" i="1"/>
  <c r="L13" i="1" s="1"/>
  <c r="N9" i="1"/>
  <c r="I7" i="1"/>
  <c r="N6" i="1"/>
  <c r="K12" i="1"/>
  <c r="I11" i="1" l="1"/>
  <c r="K11" i="1" s="1"/>
  <c r="K10" i="1"/>
  <c r="N13" i="1"/>
  <c r="I8" i="1"/>
  <c r="K8" i="1" s="1"/>
  <c r="K7" i="1"/>
  <c r="K13" i="1" l="1"/>
</calcChain>
</file>

<file path=xl/sharedStrings.xml><?xml version="1.0" encoding="utf-8"?>
<sst xmlns="http://schemas.openxmlformats.org/spreadsheetml/2006/main" count="50" uniqueCount="35">
  <si>
    <t>Estimate of Blend Colour and Bitterness</t>
  </si>
  <si>
    <t>Copper 1</t>
  </si>
  <si>
    <t>Copper 2</t>
  </si>
  <si>
    <t>Liquor</t>
  </si>
  <si>
    <t>IBU</t>
  </si>
  <si>
    <t>EBC</t>
  </si>
  <si>
    <t>C1</t>
  </si>
  <si>
    <t>Gravity S.G.</t>
  </si>
  <si>
    <t>C2</t>
  </si>
  <si>
    <t>Grav Points</t>
  </si>
  <si>
    <t>Volume</t>
  </si>
  <si>
    <t>Note</t>
  </si>
  <si>
    <t>Resulting S.G.</t>
  </si>
  <si>
    <t>Copper 3</t>
  </si>
  <si>
    <t>Volume brl</t>
  </si>
  <si>
    <t>PA2</t>
  </si>
  <si>
    <t>Total brl</t>
  </si>
  <si>
    <t>C3</t>
  </si>
  <si>
    <t>Boil hops</t>
  </si>
  <si>
    <t>Flavour hops</t>
  </si>
  <si>
    <t>Hop Stand</t>
  </si>
  <si>
    <t>Total</t>
  </si>
  <si>
    <t>Hop Sparge</t>
  </si>
  <si>
    <t>or HS</t>
  </si>
  <si>
    <t>IBU Contributions</t>
  </si>
  <si>
    <t>Post Boil vol brl</t>
  </si>
  <si>
    <t>Material %</t>
  </si>
  <si>
    <t>Used for PA2</t>
  </si>
  <si>
    <t>NA</t>
  </si>
  <si>
    <t>affects No 3 invert and the ME added to Copper1</t>
  </si>
  <si>
    <t>g/L</t>
  </si>
  <si>
    <t xml:space="preserve"> </t>
  </si>
  <si>
    <t>Material contributions</t>
  </si>
  <si>
    <t>Whole leaf hops and 105 minute boil, 30 minute hop stand at 80C probably neared 90C with all the blending times</t>
  </si>
  <si>
    <t>updated to Morey 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</si>
</sst>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0.0%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Verdana"/>
      <family val="2"/>
    </font>
    <font>
      <sz val="10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11"/>
      <color rgb="FF3F3F3F"/>
      <name val="Verdana"/>
      <family val="2"/>
    </font>
    <font>
      <sz val="8"/>
      <name val="Calibri"/>
      <family val="2"/>
      <scheme val="minor"/>
    </font>
    <font>
      <b/>
      <sz val="10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7CB4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1C23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3F3F3F"/>
      </bottom>
      <diagonal/>
    </border>
    <border>
      <left/>
      <right style="medium">
        <color rgb="FF3F3F3F"/>
      </right>
      <top/>
      <bottom/>
      <diagonal/>
    </border>
    <border>
      <left/>
      <right style="medium">
        <color rgb="FF3F3F3F"/>
      </right>
      <top/>
      <bottom style="medium">
        <color rgb="FF3F3F3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7F7F7F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2" xfId="0" applyFont="1" applyBorder="1" applyAlignment="1">
      <alignment wrapText="1"/>
    </xf>
    <xf numFmtId="0" fontId="4" fillId="2" borderId="3" xfId="0" applyFont="1" applyFill="1" applyBorder="1" applyAlignment="1">
      <alignment horizontal="right" wrapText="1"/>
    </xf>
    <xf numFmtId="0" fontId="3" fillId="0" borderId="5" xfId="0" applyFont="1" applyBorder="1" applyAlignment="1">
      <alignment wrapText="1"/>
    </xf>
    <xf numFmtId="0" fontId="5" fillId="0" borderId="0" xfId="0" applyFont="1" applyAlignment="1">
      <alignment wrapText="1"/>
    </xf>
    <xf numFmtId="0" fontId="4" fillId="0" borderId="4" xfId="0" applyFont="1" applyBorder="1" applyAlignment="1">
      <alignment wrapText="1"/>
    </xf>
    <xf numFmtId="3" fontId="4" fillId="6" borderId="6" xfId="0" applyNumberFormat="1" applyFont="1" applyFill="1" applyBorder="1" applyAlignment="1">
      <alignment horizontal="right" wrapText="1"/>
    </xf>
    <xf numFmtId="0" fontId="4" fillId="6" borderId="6" xfId="0" applyFont="1" applyFill="1" applyBorder="1" applyAlignment="1">
      <alignment horizontal="right" wrapText="1"/>
    </xf>
    <xf numFmtId="0" fontId="4" fillId="0" borderId="6" xfId="0" applyFont="1" applyBorder="1" applyAlignment="1">
      <alignment horizontal="right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3" fillId="0" borderId="7" xfId="0" applyFont="1" applyBorder="1" applyAlignment="1">
      <alignment wrapText="1"/>
    </xf>
    <xf numFmtId="0" fontId="4" fillId="0" borderId="8" xfId="0" applyFont="1" applyBorder="1" applyAlignment="1">
      <alignment wrapText="1"/>
    </xf>
    <xf numFmtId="166" fontId="5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left" wrapText="1"/>
    </xf>
    <xf numFmtId="3" fontId="4" fillId="0" borderId="10" xfId="0" applyNumberFormat="1" applyFont="1" applyBorder="1" applyAlignment="1">
      <alignment horizontal="right" wrapText="1"/>
    </xf>
    <xf numFmtId="0" fontId="4" fillId="0" borderId="11" xfId="0" applyFont="1" applyBorder="1" applyAlignment="1">
      <alignment horizontal="center" wrapText="1"/>
    </xf>
    <xf numFmtId="0" fontId="0" fillId="0" borderId="11" xfId="0" applyBorder="1"/>
    <xf numFmtId="0" fontId="4" fillId="2" borderId="11" xfId="0" applyFont="1" applyFill="1" applyBorder="1" applyAlignment="1">
      <alignment horizontal="right" wrapText="1"/>
    </xf>
    <xf numFmtId="0" fontId="4" fillId="2" borderId="11" xfId="0" applyFont="1" applyFill="1" applyBorder="1" applyAlignment="1">
      <alignment horizontal="center" wrapText="1"/>
    </xf>
    <xf numFmtId="164" fontId="4" fillId="6" borderId="11" xfId="0" applyNumberFormat="1" applyFont="1" applyFill="1" applyBorder="1" applyAlignment="1">
      <alignment horizontal="right" wrapText="1"/>
    </xf>
    <xf numFmtId="0" fontId="4" fillId="0" borderId="12" xfId="0" applyFont="1" applyBorder="1" applyAlignment="1">
      <alignment horizontal="center" wrapText="1"/>
    </xf>
    <xf numFmtId="0" fontId="4" fillId="0" borderId="11" xfId="0" applyFont="1" applyBorder="1"/>
    <xf numFmtId="0" fontId="4" fillId="0" borderId="12" xfId="0" applyFont="1" applyBorder="1" applyAlignment="1">
      <alignment horizontal="center"/>
    </xf>
    <xf numFmtId="0" fontId="4" fillId="2" borderId="13" xfId="0" applyFont="1" applyFill="1" applyBorder="1" applyAlignment="1">
      <alignment horizontal="right" wrapText="1"/>
    </xf>
    <xf numFmtId="9" fontId="4" fillId="0" borderId="11" xfId="1" applyFont="1" applyBorder="1"/>
    <xf numFmtId="0" fontId="0" fillId="0" borderId="12" xfId="0" applyBorder="1"/>
    <xf numFmtId="0" fontId="4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/>
    </xf>
    <xf numFmtId="0" fontId="5" fillId="3" borderId="11" xfId="0" applyFont="1" applyFill="1" applyBorder="1" applyAlignment="1">
      <alignment horizontal="center" wrapText="1"/>
    </xf>
    <xf numFmtId="9" fontId="5" fillId="0" borderId="11" xfId="0" applyNumberFormat="1" applyFont="1" applyBorder="1" applyAlignment="1">
      <alignment horizontal="right" wrapText="1"/>
    </xf>
    <xf numFmtId="0" fontId="5" fillId="6" borderId="11" xfId="0" applyFont="1" applyFill="1" applyBorder="1" applyAlignment="1">
      <alignment horizontal="right" wrapText="1"/>
    </xf>
    <xf numFmtId="2" fontId="4" fillId="6" borderId="11" xfId="0" applyNumberFormat="1" applyFont="1" applyFill="1" applyBorder="1" applyAlignment="1">
      <alignment horizontal="right" wrapText="1"/>
    </xf>
    <xf numFmtId="2" fontId="4" fillId="0" borderId="11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4" fillId="0" borderId="11" xfId="0" applyFont="1" applyBorder="1" applyAlignment="1">
      <alignment horizontal="right" wrapText="1"/>
    </xf>
    <xf numFmtId="2" fontId="4" fillId="4" borderId="11" xfId="0" applyNumberFormat="1" applyFont="1" applyFill="1" applyBorder="1" applyAlignment="1">
      <alignment horizontal="right" wrapText="1"/>
    </xf>
    <xf numFmtId="0" fontId="3" fillId="0" borderId="11" xfId="0" applyFont="1" applyBorder="1" applyAlignment="1">
      <alignment wrapText="1"/>
    </xf>
    <xf numFmtId="167" fontId="6" fillId="7" borderId="9" xfId="0" applyNumberFormat="1" applyFont="1" applyFill="1" applyBorder="1" applyAlignment="1">
      <alignment horizontal="right" wrapText="1"/>
    </xf>
    <xf numFmtId="2" fontId="5" fillId="0" borderId="11" xfId="0" applyNumberFormat="1" applyFont="1" applyBorder="1" applyAlignment="1">
      <alignment horizontal="right" wrapText="1"/>
    </xf>
    <xf numFmtId="165" fontId="4" fillId="5" borderId="11" xfId="0" applyNumberFormat="1" applyFont="1" applyFill="1" applyBorder="1" applyAlignment="1">
      <alignment horizontal="righ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E98CE-091D-4C8A-AFC0-256F355DA671}">
  <dimension ref="B1:P28"/>
  <sheetViews>
    <sheetView showGridLines="0" tabSelected="1" zoomScale="157" zoomScaleNormal="157" workbookViewId="0">
      <selection activeCell="N6" sqref="N6"/>
    </sheetView>
  </sheetViews>
  <sheetFormatPr defaultRowHeight="14.5" x14ac:dyDescent="0.35"/>
  <cols>
    <col min="2" max="2" width="17.90625" customWidth="1"/>
    <col min="3" max="3" width="18.6328125" customWidth="1"/>
    <col min="4" max="4" width="14.54296875" customWidth="1"/>
    <col min="5" max="5" width="14.1796875" customWidth="1"/>
    <col min="6" max="6" width="15.453125" customWidth="1"/>
    <col min="7" max="7" width="11.1796875" customWidth="1"/>
    <col min="11" max="11" width="8.7265625" customWidth="1"/>
    <col min="13" max="13" width="9.36328125" customWidth="1"/>
    <col min="14" max="14" width="10.08984375" customWidth="1"/>
  </cols>
  <sheetData>
    <row r="1" spans="2:16" ht="17.5" x14ac:dyDescent="0.35">
      <c r="B1" s="1" t="s">
        <v>15</v>
      </c>
      <c r="C1" s="2"/>
      <c r="D1" s="2"/>
      <c r="E1" s="2"/>
      <c r="F1" s="2"/>
      <c r="G1" s="2"/>
      <c r="H1" s="3" t="s">
        <v>0</v>
      </c>
      <c r="I1" s="2"/>
      <c r="J1" s="2"/>
      <c r="K1" s="2"/>
      <c r="L1" s="2"/>
      <c r="M1" s="2"/>
      <c r="N1" s="2"/>
      <c r="O1" s="2"/>
    </row>
    <row r="2" spans="2:16" ht="21.5" customHeight="1" thickBot="1" x14ac:dyDescent="0.4">
      <c r="B2" s="2"/>
      <c r="C2" s="4" t="s">
        <v>1</v>
      </c>
      <c r="D2" s="4" t="s">
        <v>2</v>
      </c>
      <c r="E2" s="4" t="s">
        <v>13</v>
      </c>
      <c r="F2" s="4" t="s">
        <v>3</v>
      </c>
      <c r="G2" s="5"/>
      <c r="H2" s="21" t="s">
        <v>4</v>
      </c>
      <c r="I2" s="21" t="str">
        <f>B1</f>
        <v>PA2</v>
      </c>
      <c r="J2" s="22"/>
      <c r="K2" s="21" t="s">
        <v>4</v>
      </c>
      <c r="L2" s="34" t="s">
        <v>30</v>
      </c>
      <c r="M2" s="21" t="s">
        <v>5</v>
      </c>
      <c r="N2" s="44"/>
      <c r="O2" s="2"/>
    </row>
    <row r="3" spans="2:16" ht="20.5" customHeight="1" thickBot="1" x14ac:dyDescent="0.4">
      <c r="B3" s="6" t="s">
        <v>14</v>
      </c>
      <c r="C3" s="7">
        <v>134</v>
      </c>
      <c r="D3" s="7">
        <v>177</v>
      </c>
      <c r="E3" s="7">
        <v>123</v>
      </c>
      <c r="F3" s="7">
        <v>21</v>
      </c>
      <c r="G3" s="5"/>
      <c r="H3" s="35" t="s">
        <v>6</v>
      </c>
      <c r="I3" s="36">
        <f>C5</f>
        <v>0.29450549450549451</v>
      </c>
      <c r="J3" s="37">
        <f>C16</f>
        <v>23.5</v>
      </c>
      <c r="K3" s="38">
        <f>J3*I3</f>
        <v>6.9208791208791212</v>
      </c>
      <c r="L3" s="39">
        <f>D16*I3</f>
        <v>0.8952967032967033</v>
      </c>
      <c r="M3" s="23">
        <v>21.2</v>
      </c>
      <c r="N3" s="46">
        <f>M3*I3</f>
        <v>6.2435164835164834</v>
      </c>
      <c r="O3" s="2"/>
      <c r="P3" t="s">
        <v>34</v>
      </c>
    </row>
    <row r="4" spans="2:16" ht="19" customHeight="1" thickBot="1" x14ac:dyDescent="0.4">
      <c r="B4" s="6" t="s">
        <v>7</v>
      </c>
      <c r="C4" s="7">
        <v>1.077</v>
      </c>
      <c r="D4" s="7">
        <v>1.026</v>
      </c>
      <c r="E4" s="7">
        <v>1.014</v>
      </c>
      <c r="F4" s="7">
        <v>1</v>
      </c>
      <c r="G4" s="5"/>
      <c r="H4" s="22"/>
      <c r="I4" s="36">
        <f>I3</f>
        <v>0.29450549450549451</v>
      </c>
      <c r="J4" s="37">
        <f>C17</f>
        <v>0</v>
      </c>
      <c r="K4" s="38">
        <f t="shared" ref="K4:K5" si="0">J4*I4</f>
        <v>0</v>
      </c>
      <c r="L4" s="39"/>
      <c r="M4" s="22"/>
      <c r="N4" s="22"/>
      <c r="O4" s="2"/>
    </row>
    <row r="5" spans="2:16" ht="20.5" customHeight="1" x14ac:dyDescent="0.35">
      <c r="B5" s="2"/>
      <c r="C5" s="18">
        <f>C3/C9</f>
        <v>0.29450549450549451</v>
      </c>
      <c r="D5" s="18">
        <f>D3/C9</f>
        <v>0.38901098901098902</v>
      </c>
      <c r="E5" s="18">
        <f>E3/C9</f>
        <v>0.27032967032967031</v>
      </c>
      <c r="F5" s="18">
        <f>F3/C9</f>
        <v>4.6153846153846156E-2</v>
      </c>
      <c r="G5" s="5"/>
      <c r="H5" s="22"/>
      <c r="I5" s="36">
        <f>I4</f>
        <v>0.29450549450549451</v>
      </c>
      <c r="J5" s="37">
        <f>C18</f>
        <v>2.8</v>
      </c>
      <c r="K5" s="38">
        <f t="shared" si="0"/>
        <v>0.82461538461538464</v>
      </c>
      <c r="L5" s="39"/>
      <c r="M5" s="22"/>
      <c r="N5" s="22"/>
      <c r="O5" s="2"/>
    </row>
    <row r="6" spans="2:16" ht="21.5" customHeight="1" thickBot="1" x14ac:dyDescent="0.4">
      <c r="B6" s="2"/>
      <c r="C6" s="8"/>
      <c r="D6" s="8"/>
      <c r="E6" s="8"/>
      <c r="F6" s="8"/>
      <c r="G6" s="5"/>
      <c r="H6" s="40" t="s">
        <v>8</v>
      </c>
      <c r="I6" s="36">
        <f>D5</f>
        <v>0.38901098901098902</v>
      </c>
      <c r="J6" s="37">
        <f>E16</f>
        <v>17.899999999999999</v>
      </c>
      <c r="K6" s="38">
        <f>J6*I6</f>
        <v>6.9632967032967032</v>
      </c>
      <c r="L6" s="39">
        <f>I6*F16</f>
        <v>0.52127472527472529</v>
      </c>
      <c r="M6" s="23">
        <v>8.5</v>
      </c>
      <c r="N6" s="46">
        <f>M6*I6</f>
        <v>3.3065934065934068</v>
      </c>
      <c r="O6" s="9"/>
    </row>
    <row r="7" spans="2:16" ht="20" customHeight="1" thickBot="1" x14ac:dyDescent="0.4">
      <c r="B7" s="10" t="s">
        <v>9</v>
      </c>
      <c r="C7" s="11">
        <f>C3*((C4-1)*1000)</f>
        <v>10317.999999999995</v>
      </c>
      <c r="D7" s="11">
        <f>D3*((D4-1)*1000)</f>
        <v>4602.0000000000036</v>
      </c>
      <c r="E7" s="11">
        <f t="shared" ref="E7:F7" si="1">E3*((E4-1)*1000)</f>
        <v>1722.0000000000016</v>
      </c>
      <c r="F7" s="12">
        <f t="shared" si="1"/>
        <v>0</v>
      </c>
      <c r="H7" s="22"/>
      <c r="I7" s="36">
        <f>I6</f>
        <v>0.38901098901098902</v>
      </c>
      <c r="J7" s="37">
        <f>E17</f>
        <v>0</v>
      </c>
      <c r="K7" s="38">
        <f t="shared" ref="K7:K8" si="2">J7*I7</f>
        <v>0</v>
      </c>
      <c r="L7" s="39"/>
      <c r="M7" s="22"/>
      <c r="N7" s="22"/>
      <c r="O7" s="2"/>
    </row>
    <row r="8" spans="2:16" ht="19" customHeight="1" thickBot="1" x14ac:dyDescent="0.4">
      <c r="B8" s="2"/>
      <c r="C8" s="8"/>
      <c r="D8" s="2"/>
      <c r="E8" s="2"/>
      <c r="F8" s="2"/>
      <c r="G8" s="2"/>
      <c r="H8" s="22"/>
      <c r="I8" s="36">
        <f>I7</f>
        <v>0.38901098901098902</v>
      </c>
      <c r="J8" s="37">
        <f>E18</f>
        <v>2.1</v>
      </c>
      <c r="K8" s="38">
        <f t="shared" si="2"/>
        <v>0.81692307692307697</v>
      </c>
      <c r="L8" s="39"/>
      <c r="M8" s="22"/>
      <c r="N8" s="22"/>
      <c r="O8" s="2"/>
    </row>
    <row r="9" spans="2:16" ht="22.5" customHeight="1" thickBot="1" x14ac:dyDescent="0.4">
      <c r="B9" s="10" t="s">
        <v>10</v>
      </c>
      <c r="C9" s="13">
        <f>SUM(C3:F3)</f>
        <v>455</v>
      </c>
      <c r="D9" s="14" t="s">
        <v>16</v>
      </c>
      <c r="E9" s="2"/>
      <c r="F9" s="2"/>
      <c r="G9" s="2"/>
      <c r="H9" s="40" t="s">
        <v>17</v>
      </c>
      <c r="I9" s="36">
        <f>E5</f>
        <v>0.27032967032967031</v>
      </c>
      <c r="J9" s="37">
        <f>G16</f>
        <v>13</v>
      </c>
      <c r="K9" s="38">
        <f>J9*I9</f>
        <v>3.5142857142857142</v>
      </c>
      <c r="L9" s="39">
        <f>I9*H16</f>
        <v>0.23789010989010986</v>
      </c>
      <c r="M9" s="23">
        <v>7.4</v>
      </c>
      <c r="N9" s="46">
        <f>M9*I9</f>
        <v>2.0004395604395606</v>
      </c>
    </row>
    <row r="10" spans="2:16" ht="20" customHeight="1" thickBot="1" x14ac:dyDescent="0.4">
      <c r="B10" s="10" t="s">
        <v>9</v>
      </c>
      <c r="C10" s="20">
        <f>SUM(C7:F7)</f>
        <v>16642</v>
      </c>
      <c r="D10" s="2"/>
      <c r="E10" s="2"/>
      <c r="F10" s="2"/>
      <c r="G10" s="2"/>
      <c r="H10" s="22"/>
      <c r="I10" s="36">
        <f>I9</f>
        <v>0.27032967032967031</v>
      </c>
      <c r="J10" s="37">
        <f>G17</f>
        <v>0</v>
      </c>
      <c r="K10" s="38">
        <f t="shared" ref="K10:K11" si="3">J10*I10</f>
        <v>0</v>
      </c>
      <c r="L10" s="39"/>
      <c r="M10" s="22"/>
      <c r="N10" s="22"/>
    </row>
    <row r="11" spans="2:16" ht="21.5" customHeight="1" thickBot="1" x14ac:dyDescent="0.4">
      <c r="B11" s="2"/>
      <c r="C11" s="2"/>
      <c r="D11" s="16"/>
      <c r="E11" s="2"/>
      <c r="F11" s="2"/>
      <c r="G11" s="2"/>
      <c r="H11" s="22"/>
      <c r="I11" s="36">
        <f>I10</f>
        <v>0.27032967032967031</v>
      </c>
      <c r="J11" s="37">
        <f>G18</f>
        <v>1.5</v>
      </c>
      <c r="K11" s="38">
        <f t="shared" si="3"/>
        <v>0.4054945054945055</v>
      </c>
      <c r="L11" s="39"/>
      <c r="M11" s="22"/>
      <c r="N11" s="22"/>
    </row>
    <row r="12" spans="2:16" ht="18.5" customHeight="1" thickBot="1" x14ac:dyDescent="0.4">
      <c r="B12" s="2"/>
      <c r="C12" s="17" t="s">
        <v>12</v>
      </c>
      <c r="D12" s="45">
        <f>1+((C10/C9)/1000)</f>
        <v>1.0365758241758243</v>
      </c>
      <c r="E12" s="2"/>
      <c r="F12" s="2"/>
      <c r="G12" s="2"/>
      <c r="H12" s="40" t="s">
        <v>3</v>
      </c>
      <c r="I12" s="36">
        <f>F5</f>
        <v>4.6153846153846156E-2</v>
      </c>
      <c r="J12" s="37">
        <f>J19</f>
        <v>0</v>
      </c>
      <c r="K12" s="38">
        <f t="shared" ref="K12" si="4">J12*I12</f>
        <v>0</v>
      </c>
      <c r="L12" s="39"/>
      <c r="M12" s="23">
        <v>0</v>
      </c>
      <c r="N12" s="46">
        <f>M12*I12</f>
        <v>0</v>
      </c>
    </row>
    <row r="13" spans="2:16" ht="21.5" customHeight="1" x14ac:dyDescent="0.35">
      <c r="H13" s="41" t="s">
        <v>23</v>
      </c>
      <c r="I13" s="22"/>
      <c r="J13" s="42"/>
      <c r="K13" s="43">
        <f>SUM(K3:K12)</f>
        <v>19.445494505494505</v>
      </c>
      <c r="L13" s="43">
        <f>SUM(L3:L12)</f>
        <v>1.6544615384615384</v>
      </c>
      <c r="M13" s="44"/>
      <c r="N13" s="47">
        <f>SUM(N3:N12)</f>
        <v>11.55054945054945</v>
      </c>
    </row>
    <row r="14" spans="2:16" ht="21.5" customHeight="1" x14ac:dyDescent="0.35"/>
    <row r="15" spans="2:16" ht="40.5" x14ac:dyDescent="0.35">
      <c r="B15" s="32" t="s">
        <v>24</v>
      </c>
      <c r="C15" s="32" t="s">
        <v>1</v>
      </c>
      <c r="D15" s="33" t="s">
        <v>30</v>
      </c>
      <c r="E15" s="32" t="s">
        <v>2</v>
      </c>
      <c r="F15" s="33" t="s">
        <v>30</v>
      </c>
      <c r="G15" s="32" t="s">
        <v>13</v>
      </c>
      <c r="H15" s="32" t="s">
        <v>30</v>
      </c>
      <c r="J15" s="32" t="s">
        <v>22</v>
      </c>
      <c r="K15" s="2"/>
      <c r="L15" s="2"/>
      <c r="M15" s="2"/>
    </row>
    <row r="16" spans="2:16" ht="18" customHeight="1" x14ac:dyDescent="0.35">
      <c r="B16" s="22" t="s">
        <v>18</v>
      </c>
      <c r="C16" s="23">
        <v>23.5</v>
      </c>
      <c r="D16" s="24">
        <v>3.04</v>
      </c>
      <c r="E16" s="23">
        <v>17.899999999999999</v>
      </c>
      <c r="F16" s="24">
        <f>0.67*2</f>
        <v>1.34</v>
      </c>
      <c r="G16" s="23">
        <v>13</v>
      </c>
      <c r="H16" s="24">
        <v>0.88</v>
      </c>
      <c r="J16" s="23">
        <v>0</v>
      </c>
    </row>
    <row r="17" spans="2:10" ht="18" customHeight="1" x14ac:dyDescent="0.35">
      <c r="B17" s="22" t="s">
        <v>19</v>
      </c>
      <c r="C17" s="23">
        <v>0</v>
      </c>
      <c r="D17" s="24"/>
      <c r="E17" s="23">
        <v>0</v>
      </c>
      <c r="F17" s="24" t="s">
        <v>31</v>
      </c>
      <c r="G17" s="23">
        <v>0</v>
      </c>
      <c r="H17" s="24" t="s">
        <v>31</v>
      </c>
      <c r="J17" s="23">
        <v>0</v>
      </c>
    </row>
    <row r="18" spans="2:10" ht="18" customHeight="1" x14ac:dyDescent="0.35">
      <c r="B18" s="22" t="s">
        <v>20</v>
      </c>
      <c r="C18" s="23">
        <v>2.8</v>
      </c>
      <c r="D18" s="24"/>
      <c r="E18" s="23">
        <v>2.1</v>
      </c>
      <c r="F18" s="24"/>
      <c r="G18" s="23">
        <v>1.5</v>
      </c>
      <c r="H18" s="24" t="s">
        <v>31</v>
      </c>
      <c r="J18" s="23">
        <v>0</v>
      </c>
    </row>
    <row r="19" spans="2:10" ht="21" customHeight="1" x14ac:dyDescent="0.35">
      <c r="B19" s="22" t="s">
        <v>21</v>
      </c>
      <c r="C19" s="25">
        <f>SUM(C16:C18)</f>
        <v>26.3</v>
      </c>
      <c r="D19" s="22"/>
      <c r="E19" s="25">
        <f t="shared" ref="E19" si="5">SUM(E16:E18)</f>
        <v>20</v>
      </c>
      <c r="F19" s="22"/>
      <c r="G19" s="25">
        <f>SUM(G16:G18)</f>
        <v>14.5</v>
      </c>
      <c r="H19" s="22"/>
      <c r="J19" s="25">
        <f>SUM(J16:J18)</f>
        <v>0</v>
      </c>
    </row>
    <row r="21" spans="2:10" x14ac:dyDescent="0.35">
      <c r="B21" s="5" t="s">
        <v>11</v>
      </c>
      <c r="C21" s="15" t="s">
        <v>33</v>
      </c>
      <c r="D21" s="2"/>
      <c r="E21" s="2"/>
      <c r="F21" s="2"/>
      <c r="G21" s="2"/>
      <c r="H21" s="2"/>
      <c r="I21" s="2"/>
    </row>
    <row r="22" spans="2:10" x14ac:dyDescent="0.35">
      <c r="C22" s="19"/>
      <c r="D22" s="2"/>
      <c r="E22" s="2"/>
      <c r="F22" s="2"/>
      <c r="G22" s="2"/>
      <c r="H22" s="2"/>
      <c r="I22" s="2"/>
    </row>
    <row r="23" spans="2:10" ht="28" x14ac:dyDescent="0.35">
      <c r="B23" s="21" t="s">
        <v>32</v>
      </c>
      <c r="C23" s="21" t="s">
        <v>1</v>
      </c>
      <c r="D23" s="21" t="s">
        <v>2</v>
      </c>
      <c r="E23" s="21" t="s">
        <v>13</v>
      </c>
      <c r="F23" s="26" t="s">
        <v>3</v>
      </c>
    </row>
    <row r="24" spans="2:10" x14ac:dyDescent="0.35">
      <c r="B24" s="22" t="s">
        <v>27</v>
      </c>
      <c r="C24" s="27">
        <f>C3</f>
        <v>134</v>
      </c>
      <c r="D24" s="27">
        <f t="shared" ref="D24:E24" si="6">D3</f>
        <v>177</v>
      </c>
      <c r="E24" s="27">
        <f t="shared" si="6"/>
        <v>123</v>
      </c>
      <c r="F24" s="28" t="s">
        <v>28</v>
      </c>
    </row>
    <row r="25" spans="2:10" x14ac:dyDescent="0.35">
      <c r="B25" s="22" t="s">
        <v>25</v>
      </c>
      <c r="C25" s="23">
        <v>200</v>
      </c>
      <c r="D25" s="23">
        <v>230</v>
      </c>
      <c r="E25" s="23">
        <v>173</v>
      </c>
      <c r="F25" s="29"/>
    </row>
    <row r="26" spans="2:10" x14ac:dyDescent="0.35">
      <c r="B26" s="21" t="s">
        <v>26</v>
      </c>
      <c r="C26" s="30">
        <f>C24/C25</f>
        <v>0.67</v>
      </c>
      <c r="D26" s="30">
        <f t="shared" ref="D26:E26" si="7">D24/D25</f>
        <v>0.76956521739130435</v>
      </c>
      <c r="E26" s="30">
        <f t="shared" si="7"/>
        <v>0.71098265895953761</v>
      </c>
      <c r="F26" s="31"/>
    </row>
    <row r="28" spans="2:10" x14ac:dyDescent="0.35">
      <c r="C28" t="s">
        <v>29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Blending 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dcterms:created xsi:type="dcterms:W3CDTF">2026-01-18T07:01:16Z</dcterms:created>
  <dcterms:modified xsi:type="dcterms:W3CDTF">2026-02-19T03:06:42Z</dcterms:modified>
</cp:coreProperties>
</file>